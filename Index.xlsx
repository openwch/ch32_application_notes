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B411EF0B-53AA-4801-983A-B8CFD73BC9C6}" xr6:coauthVersionLast="47" xr6:coauthVersionMax="47" xr10:uidLastSave="{00000000-0000-0000-0000-000000000000}"/>
  <bookViews>
    <workbookView xWindow="-108" yWindow="-108" windowWidth="30936" windowHeight="16776" xr2:uid="{B3C2C8E5-E98A-4560-9C89-70683FDDB0B4}"/>
  </bookViews>
  <sheets>
    <sheet name="文件列表" sheetId="1" r:id="rId1"/>
    <sheet name="类型Index" sheetId="2" r:id="rId2"/>
  </sheets>
  <definedNames>
    <definedName name="_xlnm._FilterDatabase" localSheetId="0" hidden="1">文件列表!$A$1:$H$9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C9" i="1"/>
  <c r="G9" i="1"/>
  <c r="B8" i="1"/>
  <c r="C8" i="1"/>
  <c r="G8" i="1"/>
  <c r="B7" i="1"/>
  <c r="C7" i="1"/>
  <c r="G7" i="1"/>
  <c r="B6" i="1"/>
  <c r="C6" i="1"/>
  <c r="G6" i="1"/>
  <c r="B5" i="1"/>
  <c r="C5" i="1"/>
  <c r="G5" i="1"/>
  <c r="B4" i="1"/>
  <c r="C4" i="1"/>
  <c r="G4" i="1"/>
  <c r="C2" i="1"/>
  <c r="C3" i="1"/>
  <c r="B2" i="1"/>
  <c r="B3" i="1"/>
  <c r="G3" i="1"/>
  <c r="G2" i="1"/>
</calcChain>
</file>

<file path=xl/sharedStrings.xml><?xml version="1.0" encoding="utf-8"?>
<sst xmlns="http://schemas.openxmlformats.org/spreadsheetml/2006/main" count="95" uniqueCount="79">
  <si>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</si>
  <si>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</si>
  <si>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</si>
  <si>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</si>
  <si>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</si>
  <si>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</si>
  <si>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</si>
  <si>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</si>
  <si>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</si>
  <si>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</si>
  <si>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</si>
  <si>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</si>
  <si>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</si>
  <si>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</si>
  <si>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</si>
  <si>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</si>
  <si>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</si>
  <si>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</si>
  <si>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</si>
  <si>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</si>
  <si>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</si>
  <si>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</si>
  <si>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</si>
  <si>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</si>
  <si>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</si>
  <si>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</si>
  <si>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</si>
  <si>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</si>
  <si>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</si>
  <si>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</si>
  <si>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</si>
  <si>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</si>
  <si>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</si>
  <si>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</si>
  <si>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</si>
  <si>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</si>
  <si>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</si>
  <si>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</si>
  <si>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</si>
  <si>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</si>
  <si>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</si>
  <si>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</si>
  <si>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</si>
  <si>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</si>
  <si>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</si>
  <si>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</si>
  <si>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</si>
  <si>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</si>
  <si>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</si>
  <si>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</si>
  <si>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</si>
  <si>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</si>
  <si>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</si>
  <si>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</si>
  <si>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</si>
  <si>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</si>
  <si>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</si>
  <si>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</si>
  <si>
    <t>CH Gitee镜像</t>
    <phoneticPr fontId="1" type="noConversion"/>
  </si>
  <si>
    <t>EN Gitee镜像</t>
    <phoneticPr fontId="1" type="noConversion"/>
  </si>
  <si>
    <t>AN91000.pdf</t>
    <phoneticPr fontId="1" type="noConversion"/>
  </si>
  <si>
    <t>本文重点介绍CH32H415、416、417 双核芯片，在 MRS2 开发环境下的调试配置，分别列举单核和双核的主要调试流程，以及调试中的注意事项。</t>
    <phoneticPr fontId="1" type="noConversion"/>
  </si>
  <si>
    <t>AN17000.pdf</t>
    <phoneticPr fontId="1" type="noConversion"/>
  </si>
  <si>
    <t>基于双核芯片的调试配置及注意事项</t>
    <phoneticPr fontId="1" type="noConversion"/>
  </si>
  <si>
    <t>本应用笔记重点介绍如何在SPI主机模式下使用NSS输出功能，以提高通信可靠性。</t>
    <phoneticPr fontId="1" type="noConversion"/>
  </si>
  <si>
    <t>AN09000.pdf</t>
    <phoneticPr fontId="1" type="noConversion"/>
  </si>
  <si>
    <t xml:space="preserve">本文主要介绍了CH32 通用MCU系列的12-bit ADC的使用方法以及注意事项。ADC主要的静
态参数计算；想要在实际应用中达到标称的精度，需要在软件配置端与外围电路的设计上给予足够
的重视。 </t>
    <phoneticPr fontId="1" type="noConversion"/>
  </si>
  <si>
    <t>AN14000.pdf</t>
    <phoneticPr fontId="1" type="noConversion"/>
  </si>
  <si>
    <t>本应用笔记将深入探讨 CH32H417 芯片中 SerDes 的使用方法、配置流程、应用场景以 及常见问题与解决方案，帮助用户充分利用该芯片的 SerDes 功能。</t>
    <phoneticPr fontId="1" type="noConversion"/>
  </si>
  <si>
    <t>SerDes使用基础教程</t>
    <phoneticPr fontId="1" type="noConversion"/>
  </si>
  <si>
    <t>AN08000.pdf</t>
    <phoneticPr fontId="1" type="noConversion"/>
  </si>
  <si>
    <t>本应用文档介绍了
CH32H417/H416/H415 MCU 的 DMA 特点，分析了 CPU 和 DMA 操作 SRAM 的仲裁优先级，DMA
传输速率等。</t>
    <phoneticPr fontId="1" type="noConversion"/>
  </si>
  <si>
    <t>CH32H417/415/416系列DMA使用注意事项</t>
    <phoneticPr fontId="1" type="noConversion"/>
  </si>
  <si>
    <t>通用MCU系列ADC使用及注意事项</t>
    <phoneticPr fontId="1" type="noConversion"/>
  </si>
  <si>
    <t>通用MCU系列SPI主机模式使用NSS教程</t>
    <phoneticPr fontId="1" type="noConversion"/>
  </si>
  <si>
    <t>AN22000.pdf</t>
    <phoneticPr fontId="1" type="noConversion"/>
  </si>
  <si>
    <t>AN90000.pdf</t>
    <phoneticPr fontId="1" type="noConversion"/>
  </si>
  <si>
    <t>CH32H417QEU-R1-1v1开发板使用说明</t>
    <phoneticPr fontId="1" type="noConversion"/>
  </si>
  <si>
    <t>CH32H417QEU-R1-1v1开发板是基于 沁恒青稞RISC-V5F 和RISC-V3F 双内核CH32H417QEU6微控制器的完整演示与开发平台。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</si>
</sst>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8">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2" fillId="0" borderId="0" xfId="1" applyAlignment="1">
      <alignment horizontal="center" vertical="center"/>
    </xf>
    <xf numFmtId="0" fontId="0" fillId="0" borderId="0" xfId="0" quotePrefix="1" applyAlignment="1">
      <alignment horizontal="center" vertical="center"/>
    </xf>
    <xf numFmtId="0" fontId="2" fillId="0" borderId="0" xfId="1" applyNumberFormat="1" applyAlignment="1">
      <alignment horizontal="center" vertical="center"/>
    </xf>
    <xf numFmtId="0" fontId="0" fillId="0" borderId="0" xfId="0" applyAlignment="1">
      <alignment horizontal="left" vertical="center" wrapText="1"/>
    </xf>
    <xf numFmtId="0" fontId="0" fillId="0" borderId="0" xfId="0" applyNumberFormat="1" applyAlignment="1">
      <alignment horizontal="center" vertical="center"/>
    </xf>
  </cellXfs>
  <cellStyles count="2">
    <cellStyle name="常规" xfId="0" builtinId="0"/>
    <cellStyle name="超链接" xfId="1" builtinId="8"/>
  </cellStyles>
  <dxfs count="13">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文件索引表" displayName="文件索引表" ref="A1:K9" totalsRowShown="0" headerRowDxfId="12" dataDxfId="11">
  <autoFilter ref="A1:K9" xr:uid="{F20C98E0-EC21-4FA5-95A7-F381479833AC}"/>
  <tableColumns count="11">
    <tableColumn id="1" xr3:uid="{FCBBF4A2-03CB-4883-8E68-90DEB846908D}" name="文件" dataDxfId="10"/>
    <tableColumn id="6" xr3:uid="{915FD8AC-706D-4E1C-A85F-1735C0A4E667}" name="链接CH" dataDxfId="9">
      <calculatedColumnFormula>HYPERLINK("https://github.com/openwch/ch32_application_notes/blob/main/zh/"&amp;文件索引表[[#This Row],[文件]],"Github")</calculatedColumnFormula>
    </tableColumn>
    <tableColumn id="10" xr3:uid="{C1CA5325-BEFE-4310-8DC2-EB0EDF1E6B79}" name="CH Gitee镜像" dataDxfId="8" dataCellStyle="超链接">
      <calculatedColumnFormula>HYPERLINK("https://gitee.com/SYT_23/ch32_application_notes/raw/main/zh/"&amp;文件索引表[[#This Row],[文件]],"Gitee")</calculatedColumnFormula>
    </tableColumn>
    <tableColumn id="9" xr3:uid="{A29C0DDC-6656-4A87-9641-B46EAFE59C8A}" name="链接EN" dataDxfId="7"/>
    <tableColumn id="12" xr3:uid="{5E4BA809-651A-4796-B06B-3034F6BA9AE9}" name="EN Gitee镜像" dataDxfId="6"/>
    <tableColumn id="8" xr3:uid="{2B89B17F-3453-47BF-A4C3-7D99CD563975}" name="标题" dataDxfId="5"/>
    <tableColumn id="2" xr3:uid="{EDB8B225-1A54-4245-85C0-DC125B05E45D}" name="类型" dataDxfId="4">
      <calculatedColumnFormula>IFERROR(VLOOKUP(INT(MID($A2,FIND("AN",$A2)+2,2)),Index[],2,FALSE),"")</calculatedColumnFormula>
    </tableColumn>
    <tableColumn id="3" xr3:uid="{49F37FEB-3215-4B10-8D00-0B74E36C8895}" name="发布日期" dataDxfId="3"/>
    <tableColumn id="7" xr3:uid="{51B42D66-90E9-41C1-A474-37DD2DBDE15D}" name="更新日期" dataDxfId="2"/>
    <tableColumn id="4" xr3:uid="{05417962-2E32-4EE8-A769-CB6582724555}" name="说明" dataDxfId="1"/>
    <tableColumn id="5" xr3:uid="{0A3FAFAC-1BAE-4E66-AD5E-6E0216D8CD05}" name="备注"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3" totalsRowShown="0">
  <autoFilter ref="A1:B43"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K9"/>
  <sheetViews>
    <sheetView tabSelected="1" topLeftCell="A4" zoomScale="145" zoomScaleNormal="145" workbookViewId="0">
      <selection activeCell="D16" sqref="D16"/>
    </sheetView>
  </sheetViews>
  <sheetFormatPr defaultRowHeight="13.8" x14ac:dyDescent="0.25"/>
  <cols>
    <col min="1" max="1" width="12.77734375" bestFit="1" customWidth="1"/>
    <col min="2" max="2" width="12.6640625" bestFit="1" customWidth="1"/>
    <col min="3" max="3" width="18.5546875" bestFit="1" customWidth="1"/>
    <col min="4" max="4" width="12.5546875" bestFit="1" customWidth="1"/>
    <col min="5" max="5" width="18.44140625" bestFit="1" customWidth="1"/>
    <col min="6" max="6" width="41.6640625" bestFit="1" customWidth="1"/>
    <col min="7" max="7" width="16.109375" bestFit="1" customWidth="1"/>
    <col min="8" max="9" width="11.44140625" bestFit="1" customWidth="1"/>
    <col min="10" max="10" width="46.77734375" bestFit="1" customWidth="1"/>
  </cols>
  <sheetData>
    <row r="1" spans="1:11" x14ac:dyDescent="0.25">
      <c r="A1" s="1" t="s">
        <v>0</v>
      </c>
      <c r="B1" s="1" t="s">
        <v>53</v>
      </c>
      <c r="C1" s="1" t="s">
        <v>58</v>
      </c>
      <c r="D1" s="1" t="s">
        <v>54</v>
      </c>
      <c r="E1" s="1" t="s">
        <v>59</v>
      </c>
      <c r="F1" s="1" t="s">
        <v>4</v>
      </c>
      <c r="G1" s="1" t="s">
        <v>1</v>
      </c>
      <c r="H1" s="1" t="s">
        <v>2</v>
      </c>
      <c r="I1" s="1" t="s">
        <v>51</v>
      </c>
      <c r="J1" s="1" t="s">
        <v>5</v>
      </c>
      <c r="K1" s="1" t="s">
        <v>3</v>
      </c>
    </row>
    <row r="2" spans="1:11" ht="55.2" x14ac:dyDescent="0.25">
      <c r="A2" s="1" t="s">
        <v>6</v>
      </c>
      <c r="B2" s="3" t="str">
        <f>HYPERLINK("https://github.com/openwch/ch32_application_notes/blob/main/zh/"&amp;文件索引表[[#This Row],[文件]],"Github")</f>
        <v>Github</v>
      </c>
      <c r="C2" s="3" t="str">
        <f>HYPERLINK("https://gitee.com/SYT_23/ch32_application_notes/raw/main/zh/"&amp;文件索引表[[#This Row],[文件]],"Gitee")</f>
        <v>Gitee</v>
      </c>
      <c r="D2" s="4" t="s">
        <v>55</v>
      </c>
      <c r="E2" s="4" t="s">
        <v>55</v>
      </c>
      <c r="F2" s="1" t="s">
        <v>52</v>
      </c>
      <c r="G2" s="1" t="str">
        <f>IFERROR(VLOOKUP(INT(MID($A2,FIND("AN",$A2)+2,2)),Index[],2,FALSE),"")</f>
        <v>PWR</v>
      </c>
      <c r="H2" s="2">
        <v>45910</v>
      </c>
      <c r="I2" s="2">
        <v>45910</v>
      </c>
      <c r="J2" s="6" t="s">
        <v>7</v>
      </c>
      <c r="K2" s="1"/>
    </row>
    <row r="3" spans="1:11" ht="55.2" x14ac:dyDescent="0.25">
      <c r="A3" s="1" t="s">
        <v>75</v>
      </c>
      <c r="B3" s="3" t="str">
        <f>HYPERLINK("https://github.com/openwch/ch32_application_notes/blob/main/zh/"&amp;文件索引表[[#This Row],[文件]],"Github")</f>
        <v>Github</v>
      </c>
      <c r="C3" s="3" t="str">
        <f>HYPERLINK("https://gitee.com/SYT_23/ch32_application_notes/raw/main/zh/"&amp;文件索引表[[#This Row],[文件]],"Gitee")</f>
        <v>Gitee</v>
      </c>
      <c r="D3" s="4" t="s">
        <v>55</v>
      </c>
      <c r="E3" s="4" t="s">
        <v>55</v>
      </c>
      <c r="F3" s="1" t="s">
        <v>57</v>
      </c>
      <c r="G3" s="1" t="str">
        <f>IFERROR(VLOOKUP(INT(MID($A3,FIND("AN",$A3)+2,2)),Index[],2,FALSE),"")</f>
        <v>SDMMC</v>
      </c>
      <c r="H3" s="2">
        <v>45915</v>
      </c>
      <c r="I3" s="2">
        <v>45916</v>
      </c>
      <c r="J3" s="6" t="s">
        <v>56</v>
      </c>
      <c r="K3" s="1"/>
    </row>
    <row r="4" spans="1:11" ht="41.4" x14ac:dyDescent="0.25">
      <c r="A4" s="1" t="s">
        <v>60</v>
      </c>
      <c r="B4" s="5" t="str">
        <f>HYPERLINK("https://github.com/openwch/ch32_application_notes/blob/main/zh/"&amp;文件索引表[[#This Row],[文件]],"Github")</f>
        <v>Github</v>
      </c>
      <c r="C4" s="5" t="str">
        <f>HYPERLINK("https://gitee.com/SYT_23/ch32_application_notes/raw/main/zh/"&amp;文件索引表[[#This Row],[文件]],"Gitee")</f>
        <v>Gitee</v>
      </c>
      <c r="D4" s="4" t="s">
        <v>55</v>
      </c>
      <c r="E4" s="4" t="s">
        <v>55</v>
      </c>
      <c r="F4" s="1" t="s">
        <v>63</v>
      </c>
      <c r="G4" s="1" t="str">
        <f>IFERROR(VLOOKUP(INT(MID($A4,FIND("AN",$A4)+2,2)),Index[],2,FALSE),"")</f>
        <v>工具与开发环境</v>
      </c>
      <c r="H4" s="2">
        <v>45987</v>
      </c>
      <c r="I4" s="2">
        <v>45987</v>
      </c>
      <c r="J4" s="6" t="s">
        <v>61</v>
      </c>
      <c r="K4" s="1"/>
    </row>
    <row r="5" spans="1:11" ht="27.6" x14ac:dyDescent="0.25">
      <c r="A5" s="1" t="s">
        <v>62</v>
      </c>
      <c r="B5" s="5" t="str">
        <f>HYPERLINK("https://github.com/openwch/ch32_application_notes/blob/main/zh/"&amp;文件索引表[[#This Row],[文件]],"Github")</f>
        <v>Github</v>
      </c>
      <c r="C5" s="5" t="str">
        <f>HYPERLINK("https://gitee.com/SYT_23/ch32_application_notes/raw/main/zh/"&amp;文件索引表[[#This Row],[文件]],"Gitee")</f>
        <v>Gitee</v>
      </c>
      <c r="D5" s="4" t="s">
        <v>55</v>
      </c>
      <c r="E5" s="4" t="s">
        <v>55</v>
      </c>
      <c r="F5" s="1" t="s">
        <v>74</v>
      </c>
      <c r="G5" s="1" t="str">
        <f>IFERROR(VLOOKUP(INT(MID($A5,FIND("AN",$A5)+2,2)),Index[],2,FALSE),"")</f>
        <v>SPI/I2S</v>
      </c>
      <c r="H5" s="2">
        <v>45978</v>
      </c>
      <c r="I5" s="2">
        <v>45978</v>
      </c>
      <c r="J5" s="6" t="s">
        <v>64</v>
      </c>
      <c r="K5" s="1"/>
    </row>
    <row r="6" spans="1:11" ht="69" x14ac:dyDescent="0.25">
      <c r="A6" s="1" t="s">
        <v>65</v>
      </c>
      <c r="B6" s="5" t="str">
        <f>HYPERLINK("https://github.com/openwch/ch32_application_notes/blob/main/zh/"&amp;文件索引表[[#This Row],[文件]],"Github")</f>
        <v>Github</v>
      </c>
      <c r="C6" s="5" t="str">
        <f>HYPERLINK("https://gitee.com/SYT_23/ch32_application_notes/raw/main/zh/"&amp;文件索引表[[#This Row],[文件]],"Gitee")</f>
        <v>Gitee</v>
      </c>
      <c r="D6" s="4" t="s">
        <v>55</v>
      </c>
      <c r="E6" s="4" t="s">
        <v>55</v>
      </c>
      <c r="F6" s="1" t="s">
        <v>73</v>
      </c>
      <c r="G6" s="1" t="str">
        <f>IFERROR(VLOOKUP(INT(MID($A6,FIND("AN",$A6)+2,2)),Index[],2,FALSE),"")</f>
        <v>ADC/HSADC</v>
      </c>
      <c r="H6" s="2">
        <v>45981</v>
      </c>
      <c r="I6" s="2">
        <v>45981</v>
      </c>
      <c r="J6" s="6" t="s">
        <v>66</v>
      </c>
      <c r="K6" s="1"/>
    </row>
    <row r="7" spans="1:11" ht="56.4" customHeight="1" x14ac:dyDescent="0.25">
      <c r="A7" s="1" t="s">
        <v>67</v>
      </c>
      <c r="B7" s="5" t="str">
        <f>HYPERLINK("https://github.com/openwch/ch32_application_notes/blob/main/zh/"&amp;文件索引表[[#This Row],[文件]],"Github")</f>
        <v>Github</v>
      </c>
      <c r="C7" s="5" t="str">
        <f>HYPERLINK("https://gitee.com/SYT_23/ch32_application_notes/raw/main/zh/"&amp;文件索引表[[#This Row],[文件]],"Gitee")</f>
        <v>Gitee</v>
      </c>
      <c r="D7" s="4" t="s">
        <v>55</v>
      </c>
      <c r="E7" s="4" t="s">
        <v>55</v>
      </c>
      <c r="F7" s="1" t="s">
        <v>69</v>
      </c>
      <c r="G7" s="1" t="str">
        <f>IFERROR(VLOOKUP(INT(MID($A7,FIND("AN",$A7)+2,2)),Index[],2,FALSE),"")</f>
        <v>SerDes</v>
      </c>
      <c r="H7" s="2">
        <v>45978</v>
      </c>
      <c r="I7" s="2">
        <v>45978</v>
      </c>
      <c r="J7" s="6" t="s">
        <v>68</v>
      </c>
      <c r="K7" s="1"/>
    </row>
    <row r="8" spans="1:11" ht="55.2" x14ac:dyDescent="0.25">
      <c r="A8" s="1" t="s">
        <v>70</v>
      </c>
      <c r="B8" s="5" t="str">
        <f>HYPERLINK("https://github.com/openwch/ch32_application_notes/blob/main/zh/"&amp;文件索引表[[#This Row],[文件]],"Github")</f>
        <v>Github</v>
      </c>
      <c r="C8" s="5" t="str">
        <f>HYPERLINK("https://gitee.com/SYT_23/ch32_application_notes/raw/main/zh/"&amp;文件索引表[[#This Row],[文件]],"Gitee")</f>
        <v>Gitee</v>
      </c>
      <c r="D8" s="4" t="s">
        <v>55</v>
      </c>
      <c r="E8" s="4" t="s">
        <v>55</v>
      </c>
      <c r="F8" s="1" t="s">
        <v>72</v>
      </c>
      <c r="G8" s="1" t="str">
        <f>IFERROR(VLOOKUP(INT(MID($A8,FIND("AN",$A8)+2,2)),Index[],2,FALSE),"")</f>
        <v>DMA</v>
      </c>
      <c r="H8" s="2">
        <v>45979</v>
      </c>
      <c r="I8" s="2">
        <v>45979</v>
      </c>
      <c r="J8" s="6" t="s">
        <v>71</v>
      </c>
      <c r="K8" s="1"/>
    </row>
    <row r="9" spans="1:11" ht="41.4" x14ac:dyDescent="0.25">
      <c r="A9" s="1" t="s">
        <v>76</v>
      </c>
      <c r="B9" s="5" t="str">
        <f>HYPERLINK("https://github.com/openwch/ch32_application_notes/blob/main/zh/"&amp;文件索引表[[#This Row],[文件]],"Github")</f>
        <v>Github</v>
      </c>
      <c r="C9" s="5" t="str">
        <f>HYPERLINK("https://gitee.com/SYT_23/ch32_application_notes/raw/main/zh/"&amp;文件索引表[[#This Row],[文件]],"Gitee")</f>
        <v>Gitee</v>
      </c>
      <c r="D9" s="4" t="s">
        <v>55</v>
      </c>
      <c r="E9" s="4" t="s">
        <v>55</v>
      </c>
      <c r="F9" s="1" t="s">
        <v>77</v>
      </c>
      <c r="G9" s="7" t="str">
        <f>IFERROR(VLOOKUP(INT(MID($A9,FIND("AN",$A9)+2,2)),Index[],2,FALSE),"")</f>
        <v>其他</v>
      </c>
      <c r="H9" s="2">
        <v>46104</v>
      </c>
      <c r="I9" s="2">
        <v>46104</v>
      </c>
      <c r="J9" s="6" t="s">
        <v>78</v>
      </c>
      <c r="K9" s="1"/>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3"/>
  <sheetViews>
    <sheetView topLeftCell="A3" workbookViewId="0">
      <selection activeCell="F13" sqref="F13"/>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1</v>
      </c>
      <c r="B10" t="s">
        <v>16</v>
      </c>
    </row>
    <row r="11" spans="1:2" x14ac:dyDescent="0.25">
      <c r="A11">
        <v>2</v>
      </c>
      <c r="B11" t="s">
        <v>17</v>
      </c>
    </row>
    <row r="12" spans="1:2" x14ac:dyDescent="0.25">
      <c r="A12">
        <v>3</v>
      </c>
      <c r="B12" t="s">
        <v>18</v>
      </c>
    </row>
    <row r="13" spans="1:2" x14ac:dyDescent="0.25">
      <c r="A13">
        <v>4</v>
      </c>
      <c r="B13" t="s">
        <v>19</v>
      </c>
    </row>
    <row r="14" spans="1:2" x14ac:dyDescent="0.25">
      <c r="A14">
        <v>5</v>
      </c>
      <c r="B14" t="s">
        <v>20</v>
      </c>
    </row>
    <row r="15" spans="1:2" x14ac:dyDescent="0.25">
      <c r="A15">
        <v>6</v>
      </c>
      <c r="B15" t="s">
        <v>21</v>
      </c>
    </row>
    <row r="16" spans="1:2" x14ac:dyDescent="0.25">
      <c r="A16">
        <v>7</v>
      </c>
      <c r="B16" t="s">
        <v>22</v>
      </c>
    </row>
    <row r="17" spans="1:2" x14ac:dyDescent="0.25">
      <c r="A17">
        <v>8</v>
      </c>
      <c r="B17" t="s">
        <v>23</v>
      </c>
    </row>
    <row r="18" spans="1:2" x14ac:dyDescent="0.25">
      <c r="A18">
        <v>9</v>
      </c>
      <c r="B18" t="s">
        <v>24</v>
      </c>
    </row>
    <row r="19" spans="1:2" x14ac:dyDescent="0.25">
      <c r="A19">
        <v>10</v>
      </c>
      <c r="B19" t="s">
        <v>25</v>
      </c>
    </row>
    <row r="20" spans="1:2" x14ac:dyDescent="0.25">
      <c r="A20">
        <v>11</v>
      </c>
      <c r="B20" t="s">
        <v>26</v>
      </c>
    </row>
    <row r="21" spans="1:2" x14ac:dyDescent="0.25">
      <c r="A21">
        <v>12</v>
      </c>
      <c r="B21" t="s">
        <v>27</v>
      </c>
    </row>
    <row r="22" spans="1:2" x14ac:dyDescent="0.25">
      <c r="A22">
        <v>13</v>
      </c>
      <c r="B22" t="s">
        <v>28</v>
      </c>
    </row>
    <row r="23" spans="1:2" x14ac:dyDescent="0.25">
      <c r="A23">
        <v>14</v>
      </c>
      <c r="B23" t="s">
        <v>29</v>
      </c>
    </row>
    <row r="24" spans="1:2" x14ac:dyDescent="0.25">
      <c r="A24">
        <v>15</v>
      </c>
      <c r="B24" t="s">
        <v>30</v>
      </c>
    </row>
    <row r="25" spans="1:2" x14ac:dyDescent="0.25">
      <c r="A25">
        <v>16</v>
      </c>
      <c r="B25" t="s">
        <v>31</v>
      </c>
    </row>
    <row r="26" spans="1:2" x14ac:dyDescent="0.25">
      <c r="A26">
        <v>17</v>
      </c>
      <c r="B26" t="s">
        <v>32</v>
      </c>
    </row>
    <row r="27" spans="1:2" x14ac:dyDescent="0.25">
      <c r="A27">
        <v>18</v>
      </c>
      <c r="B27" t="s">
        <v>33</v>
      </c>
    </row>
    <row r="28" spans="1:2" x14ac:dyDescent="0.25">
      <c r="A28">
        <v>19</v>
      </c>
      <c r="B28" t="s">
        <v>34</v>
      </c>
    </row>
    <row r="29" spans="1:2" x14ac:dyDescent="0.25">
      <c r="A29">
        <v>20</v>
      </c>
      <c r="B29" t="s">
        <v>35</v>
      </c>
    </row>
    <row r="30" spans="1:2" x14ac:dyDescent="0.25">
      <c r="A30">
        <v>21</v>
      </c>
      <c r="B30" t="s">
        <v>36</v>
      </c>
    </row>
    <row r="31" spans="1:2" x14ac:dyDescent="0.25">
      <c r="A31">
        <v>22</v>
      </c>
      <c r="B31" t="s">
        <v>37</v>
      </c>
    </row>
    <row r="32" spans="1:2" x14ac:dyDescent="0.25">
      <c r="A32">
        <v>23</v>
      </c>
      <c r="B32" t="s">
        <v>38</v>
      </c>
    </row>
    <row r="33" spans="1:2" x14ac:dyDescent="0.25">
      <c r="A33">
        <v>24</v>
      </c>
      <c r="B33" t="s">
        <v>39</v>
      </c>
    </row>
    <row r="34" spans="1:2" x14ac:dyDescent="0.25">
      <c r="A34">
        <v>25</v>
      </c>
      <c r="B34" t="s">
        <v>40</v>
      </c>
    </row>
    <row r="35" spans="1:2" x14ac:dyDescent="0.25">
      <c r="A35">
        <v>26</v>
      </c>
      <c r="B35" t="s">
        <v>41</v>
      </c>
    </row>
    <row r="36" spans="1:2" x14ac:dyDescent="0.25">
      <c r="A36">
        <v>27</v>
      </c>
      <c r="B36" t="s">
        <v>42</v>
      </c>
    </row>
    <row r="37" spans="1:2" x14ac:dyDescent="0.25">
      <c r="A37">
        <v>28</v>
      </c>
      <c r="B37" t="s">
        <v>43</v>
      </c>
    </row>
    <row r="38" spans="1:2" x14ac:dyDescent="0.25">
      <c r="A38">
        <v>29</v>
      </c>
      <c r="B38" t="s">
        <v>44</v>
      </c>
    </row>
    <row r="39" spans="1:2" x14ac:dyDescent="0.25">
      <c r="A39">
        <v>30</v>
      </c>
      <c r="B39" t="s">
        <v>45</v>
      </c>
    </row>
    <row r="40" spans="1:2" x14ac:dyDescent="0.25">
      <c r="A40">
        <v>31</v>
      </c>
      <c r="B40" t="s">
        <v>46</v>
      </c>
    </row>
    <row r="41" spans="1:2" x14ac:dyDescent="0.25">
      <c r="A41">
        <v>32</v>
      </c>
      <c r="B41" t="s">
        <v>47</v>
      </c>
    </row>
    <row r="42" spans="1:2" x14ac:dyDescent="0.25">
      <c r="A42">
        <v>33</v>
      </c>
      <c r="B42" t="s">
        <v>48</v>
      </c>
    </row>
    <row r="43" spans="1:2" x14ac:dyDescent="0.25">
      <c r="A43">
        <v>34</v>
      </c>
      <c r="B43" t="s">
        <v>49</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2026-03-23T12:23:28Z</dcterms:modified>
</cp:coreProperties>
</file>