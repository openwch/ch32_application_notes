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program\VSCode\md\AN_Collections\GithubStorage\ch32_application_notes\"/>
    </mc:Choice>
  </mc:AlternateContent>
  <xr:revisionPtr revIDLastSave="0" documentId="13_ncr:1_{BFF8481D-2643-43B0-811C-4AEBA2A5350A}" xr6:coauthVersionLast="47" xr6:coauthVersionMax="47" xr10:uidLastSave="{00000000-0000-0000-0000-000000000000}"/>
  <bookViews>
    <workbookView xWindow="-108" yWindow="-108" windowWidth="30936" windowHeight="16776" activeTab="1" xr2:uid="{B3C2C8E5-E98A-4560-9C89-70683FDDB0B4}"/>
  </bookViews>
  <sheets>
    <sheet name="文件列表" sheetId="1" r:id="rId1"/>
    <sheet name="类型Index" sheetId="2" r:id="rId2"/>
  </sheets>
  <definedNames>
    <definedName name="_xlnm._FilterDatabase" localSheetId="0" hidden="1">文件列表!$A$1:$H$19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B19" i="1"/>
  <c r="C19" i="1"/>
  <c r="G19" i="1"/>
  <c r="B18" i="1"/>
  <c r="C18" i="1"/>
  <c r="G18" i="1"/>
  <c r="B17" i="1"/>
  <c r="C17" i="1"/>
  <c r="G17" i="1"/>
  <c r="B16" i="1"/>
  <c r="C16" i="1"/>
  <c r="G16" i="1"/>
  <c r="B15" i="1"/>
  <c r="C15" i="1"/>
  <c r="G15" i="1"/>
  <c r="B14" i="1"/>
  <c r="C14" i="1"/>
  <c r="G14" i="1"/>
  <c r="B2" i="1"/>
  <c r="B3" i="1"/>
  <c r="B4" i="1"/>
  <c r="B5" i="1"/>
  <c r="B6" i="1"/>
  <c r="B7" i="1"/>
  <c r="B8" i="1"/>
  <c r="B9" i="1"/>
  <c r="B10" i="1"/>
  <c r="B11" i="1"/>
  <c r="B12" i="1"/>
  <c r="B13" i="1"/>
  <c r="C8" i="1"/>
  <c r="C2" i="1"/>
  <c r="C3" i="1"/>
  <c r="C4" i="1"/>
  <c r="C5" i="1"/>
  <c r="C7" i="1"/>
  <c r="C9" i="1"/>
  <c r="C10" i="1"/>
  <c r="C11" i="1"/>
  <c r="C12" i="1"/>
  <c r="C13" i="1"/>
  <c r="G13" i="1"/>
  <c r="G12" i="1"/>
  <c r="G11" i="1"/>
  <c r="G10" i="1"/>
  <c r="G9" i="1"/>
  <c r="G8" i="1"/>
  <c r="G7" i="1"/>
  <c r="G6" i="1"/>
  <c r="G5" i="1"/>
  <c r="G4" i="1"/>
  <c r="G3" i="1"/>
  <c r="G2" i="1"/>
</calcChain>
</file>

<file path=xl/sharedStrings.xml><?xml version="1.0" encoding="utf-8"?>
<sst xmlns="http://schemas.openxmlformats.org/spreadsheetml/2006/main" count="137" uniqueCount="100">
  <si>
    <t>文件</t>
    <phoneticPr fontId="1" type="noConversion"/>
  </si>
  <si>
    <t>类型</t>
    <phoneticPr fontId="1" type="noConversion"/>
  </si>
  <si>
    <t>发布日期</t>
    <phoneticPr fontId="1" type="noConversion"/>
  </si>
  <si>
    <t>备注</t>
    <phoneticPr fontId="1" type="noConversion"/>
  </si>
  <si>
    <t>标题</t>
    <phoneticPr fontId="1" type="noConversion"/>
  </si>
  <si>
    <t>说明</t>
    <phoneticPr fontId="1" type="noConversion"/>
  </si>
  <si>
    <t>AN01000.pdf</t>
    <phoneticPr fontId="1" type="noConversion"/>
  </si>
  <si>
    <t>本应用说明提供了一些将系统从低功耗模式唤醒的方法，介绍了从软件配置、硬件设计及测量误差等维度排查低功耗模式功耗过大的问题以及睡眠唤醒中的注意事项。</t>
    <phoneticPr fontId="1" type="noConversion"/>
  </si>
  <si>
    <t>应用领域</t>
    <phoneticPr fontId="1" type="noConversion"/>
  </si>
  <si>
    <t>其他</t>
  </si>
  <si>
    <t>工具与开发环境</t>
  </si>
  <si>
    <t>安全与保密</t>
  </si>
  <si>
    <t>通信接口</t>
  </si>
  <si>
    <t>硬件设计</t>
  </si>
  <si>
    <t>电机应用</t>
  </si>
  <si>
    <t>电源应用</t>
  </si>
  <si>
    <t>PWR</t>
  </si>
  <si>
    <t>RCC</t>
  </si>
  <si>
    <t>CPU</t>
  </si>
  <si>
    <t>CRC</t>
  </si>
  <si>
    <t>RTC</t>
  </si>
  <si>
    <t>IWDG/WWDG</t>
  </si>
  <si>
    <t>GPIO/AFIO</t>
  </si>
  <si>
    <t>DMA</t>
  </si>
  <si>
    <t>ADC/HSADC</t>
  </si>
  <si>
    <t>TEKY</t>
  </si>
  <si>
    <t>TIM</t>
  </si>
  <si>
    <t>DAC</t>
  </si>
  <si>
    <t>UART/USART</t>
  </si>
  <si>
    <t>SerDes</t>
  </si>
  <si>
    <t>I2C</t>
  </si>
  <si>
    <t>I3C</t>
  </si>
  <si>
    <t>SPI/I2S</t>
  </si>
  <si>
    <t>CAN</t>
  </si>
  <si>
    <t>DVP</t>
  </si>
  <si>
    <t>RNG</t>
  </si>
  <si>
    <t>SDIO</t>
  </si>
  <si>
    <t>SDMMC</t>
  </si>
  <si>
    <t>PIOC</t>
  </si>
  <si>
    <t>OPA/CMP</t>
  </si>
  <si>
    <t>SAI</t>
  </si>
  <si>
    <t>QSPI</t>
  </si>
  <si>
    <t>SWPMI</t>
  </si>
  <si>
    <t>ESIG</t>
  </si>
  <si>
    <t>FMC/FSMC</t>
  </si>
  <si>
    <t>ECDC</t>
  </si>
  <si>
    <t>DFSDM</t>
  </si>
  <si>
    <t>LTDC</t>
  </si>
  <si>
    <t>GPHA</t>
  </si>
  <si>
    <t>UHSIF</t>
  </si>
  <si>
    <t>Index</t>
    <phoneticPr fontId="1" type="noConversion"/>
  </si>
  <si>
    <t>更新日期</t>
    <phoneticPr fontId="1" type="noConversion"/>
  </si>
  <si>
    <t>低功耗应用笔记</t>
    <phoneticPr fontId="1" type="noConversion"/>
  </si>
  <si>
    <t>链接CH</t>
    <phoneticPr fontId="1" type="noConversion"/>
  </si>
  <si>
    <t>链接EN</t>
    <phoneticPr fontId="1" type="noConversion"/>
  </si>
  <si>
    <t>--</t>
    <phoneticPr fontId="1" type="noConversion"/>
  </si>
  <si>
    <t>本应用笔记详细介绍了如何使用沁恒微电子（WCH）的高性能RISC-V微控制器CH32H417的高速SDMMC 接口，来驱动嵌入式多媒体卡（eMMC）和从模式通信。</t>
    <phoneticPr fontId="1" type="noConversion"/>
  </si>
  <si>
    <t>SDMMC多媒体卡和从模式通信</t>
    <phoneticPr fontId="1" type="noConversion"/>
  </si>
  <si>
    <t>CH Gitee镜像</t>
    <phoneticPr fontId="1" type="noConversion"/>
  </si>
  <si>
    <t>EN Gitee镜像</t>
    <phoneticPr fontId="1" type="noConversion"/>
  </si>
  <si>
    <t>AN91000.pdf</t>
    <phoneticPr fontId="1" type="noConversion"/>
  </si>
  <si>
    <t>本文重点介绍CH32H415、416、417 双核芯片，在 MRS2 开发环境下的调试配置，分别列举单核和双核的主要调试流程，以及调试中的注意事项。</t>
    <phoneticPr fontId="1" type="noConversion"/>
  </si>
  <si>
    <t>AN17000.pdf</t>
    <phoneticPr fontId="1" type="noConversion"/>
  </si>
  <si>
    <t>基于双核芯片的调试配置及注意事项</t>
    <phoneticPr fontId="1" type="noConversion"/>
  </si>
  <si>
    <t>本应用笔记重点介绍如何在SPI主机模式下使用NSS输出功能，以提高通信可靠性。</t>
    <phoneticPr fontId="1" type="noConversion"/>
  </si>
  <si>
    <t>AN09000.pdf</t>
    <phoneticPr fontId="1" type="noConversion"/>
  </si>
  <si>
    <t xml:space="preserve">本文主要介绍了CH32 通用MCU系列的12-bit ADC的使用方法以及注意事项。ADC主要的静
态参数计算；想要在实际应用中达到标称的精度，需要在软件配置端与外围电路的设计上给予足够
的重视。 </t>
    <phoneticPr fontId="1" type="noConversion"/>
  </si>
  <si>
    <t>AN14000.pdf</t>
    <phoneticPr fontId="1" type="noConversion"/>
  </si>
  <si>
    <t>本应用笔记将深入探讨 CH32H417 芯片中 SerDes 的使用方法、配置流程、应用场景以 及常见问题与解决方案，帮助用户充分利用该芯片的 SerDes 功能。</t>
    <phoneticPr fontId="1" type="noConversion"/>
  </si>
  <si>
    <t>SerDes使用基础教程</t>
    <phoneticPr fontId="1" type="noConversion"/>
  </si>
  <si>
    <t>AN08000.pdf</t>
    <phoneticPr fontId="1" type="noConversion"/>
  </si>
  <si>
    <t>本应用文档介绍了
CH32H417/H416/H415 MCU 的 DMA 特点，分析了 CPU 和 DMA 操作 SRAM 的仲裁优先级，DMA
传输速率等。</t>
    <phoneticPr fontId="1" type="noConversion"/>
  </si>
  <si>
    <t>CH32H417/415/416系列DMA使用注意事项</t>
    <phoneticPr fontId="1" type="noConversion"/>
  </si>
  <si>
    <t>通用MCU系列ADC使用及注意事项</t>
    <phoneticPr fontId="1" type="noConversion"/>
  </si>
  <si>
    <t>通用MCU系列SPI主机模式使用NSS教程</t>
    <phoneticPr fontId="1" type="noConversion"/>
  </si>
  <si>
    <t>AN22000.pdf</t>
    <phoneticPr fontId="1" type="noConversion"/>
  </si>
  <si>
    <t>AN90000.pdf</t>
    <phoneticPr fontId="1" type="noConversion"/>
  </si>
  <si>
    <t>CH32H417QEU-R1-1v1开发板使用说明</t>
    <phoneticPr fontId="1" type="noConversion"/>
  </si>
  <si>
    <t>CH32H417QEU-R1-1v1开发板是基于 沁恒青稞RISC-V5F 和RISC-V3F 双内核CH32H417QEU6微控制器的完整演示与开发平台。</t>
  </si>
  <si>
    <t>ARGB</t>
    <phoneticPr fontId="1" type="noConversion"/>
  </si>
  <si>
    <t>PSRAM</t>
    <phoneticPr fontId="1" type="noConversion"/>
  </si>
  <si>
    <t>AN03000.pdf</t>
    <phoneticPr fontId="1" type="noConversion"/>
  </si>
  <si>
    <t>CH32H417系列如何使用Icache以提升性能</t>
    <phoneticPr fontId="1" type="noConversion"/>
  </si>
  <si>
    <t>AN21000.pdf</t>
    <phoneticPr fontId="1" type="noConversion"/>
  </si>
  <si>
    <t>CH32H417 ICache使用说明</t>
    <phoneticPr fontId="1" type="noConversion"/>
  </si>
  <si>
    <t>SDIO从模式使用说明</t>
    <phoneticPr fontId="1" type="noConversion"/>
  </si>
  <si>
    <t>应用笔记介绍了如何使用CH32系列芯片的SDIO接口将其配置为从机设备，以响应外部SDIO主机的命令并进行数据传输。</t>
  </si>
  <si>
    <t>AN29000.pdf</t>
    <phoneticPr fontId="1" type="noConversion"/>
  </si>
  <si>
    <t>FMC驱动SDRAM基础教程</t>
    <phoneticPr fontId="1" type="noConversion"/>
  </si>
  <si>
    <t>本应用手册主要介绍了如何使用FMC驱动SDRAM，包括硬件设计和软件配置以及如何同时挂在两个SDRAM使用。</t>
    <phoneticPr fontId="1" type="noConversion"/>
  </si>
  <si>
    <t>AN35000.pdf</t>
    <phoneticPr fontId="1" type="noConversion"/>
  </si>
  <si>
    <t>本应用手册对比了常见的WS2812等灯珠的控制方式，体现ARGB的优势</t>
    <phoneticPr fontId="1" type="noConversion"/>
  </si>
  <si>
    <t>ARGB优势对比及基础教程</t>
    <phoneticPr fontId="1" type="noConversion"/>
  </si>
  <si>
    <t>USBPD</t>
    <phoneticPr fontId="1" type="noConversion"/>
  </si>
  <si>
    <t>AN03001.pdf</t>
    <phoneticPr fontId="1" type="noConversion"/>
  </si>
  <si>
    <t>AN03002.pdf</t>
    <phoneticPr fontId="1" type="noConversion"/>
  </si>
  <si>
    <t>AN03003.pdf</t>
    <phoneticPr fontId="1" type="noConversion"/>
  </si>
  <si>
    <t>AN09001.pdf</t>
    <phoneticPr fontId="1" type="noConversion"/>
  </si>
  <si>
    <t>AN90001.pdf</t>
    <phoneticPr fontId="1" type="noConversion"/>
  </si>
  <si>
    <t>固件升级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</si>
</sst>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2" fillId="0" borderId="0" xfId="1" applyAlignment="1">
      <alignment horizontal="center" vertical="center"/>
    </xf>
    <xf numFmtId="0" fontId="0" fillId="0" borderId="0" xfId="0" quotePrefix="1" applyAlignment="1">
      <alignment horizontal="center" vertical="center"/>
    </xf>
    <xf numFmtId="0" fontId="2" fillId="0" borderId="0" xfId="1" applyNumberFormat="1" applyAlignment="1">
      <alignment horizontal="center" vertical="center"/>
    </xf>
    <xf numFmtId="0" fontId="0" fillId="0" borderId="0" xfId="0" applyAlignment="1">
      <alignment horizontal="left" vertical="center" wrapText="1"/>
    </xf>
  </cellXfs>
  <cellStyles count="2">
    <cellStyle name="常规" xfId="0" builtinId="0"/>
    <cellStyle name="超链接" xfId="1" builtinId="8"/>
  </cellStyles>
  <dxfs count="13">
    <dxf>
      <alignment horizontal="center" vertical="center" textRotation="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0C98E0-EC21-4FA5-95A7-F381479833AC}" name="文件索引表" displayName="文件索引表" ref="A1:K19" totalsRowShown="0" headerRowDxfId="12" dataDxfId="11">
  <autoFilter ref="A1:K19" xr:uid="{F20C98E0-EC21-4FA5-95A7-F381479833AC}"/>
  <tableColumns count="11">
    <tableColumn id="1" xr3:uid="{FCBBF4A2-03CB-4883-8E68-90DEB846908D}" name="文件" dataDxfId="10"/>
    <tableColumn id="6" xr3:uid="{915FD8AC-706D-4E1C-A85F-1735C0A4E667}" name="链接CH" dataDxfId="9">
      <calculatedColumnFormula>HYPERLINK("https://github.com/openwch/ch32_application_notes/blob/main/zh/"&amp;LEFT(文件索引表[[#This Row],[文件]],FIND(".",文件索引表[[#This Row],[文件]])-1)&amp;"/"&amp;文件索引表[[#This Row],[文件]],"Github")</calculatedColumnFormula>
    </tableColumn>
    <tableColumn id="10" xr3:uid="{C1CA5325-BEFE-4310-8DC2-EB0EDF1E6B79}" name="CH Gitee镜像" dataDxfId="8" dataCellStyle="超链接">
      <calculatedColumnFormula>HYPERLINK("https://gitee.com/SYT_23/ch32_application_notes/raw/main/zh/"&amp;LEFT(文件索引表[[#This Row],[文件]],FIND(".",文件索引表[[#This Row],[文件]])-1)&amp;"/"&amp;文件索引表[[#This Row],[文件]],"Gitee")</calculatedColumnFormula>
    </tableColumn>
    <tableColumn id="9" xr3:uid="{A29C0DDC-6656-4A87-9641-B46EAFE59C8A}" name="链接EN" dataDxfId="7"/>
    <tableColumn id="12" xr3:uid="{5E4BA809-651A-4796-B06B-3034F6BA9AE9}" name="EN Gitee镜像" dataDxfId="6"/>
    <tableColumn id="8" xr3:uid="{2B89B17F-3453-47BF-A4C3-7D99CD563975}" name="标题" dataDxfId="5"/>
    <tableColumn id="2" xr3:uid="{EDB8B225-1A54-4245-85C0-DC125B05E45D}" name="类型" dataDxfId="4">
      <calculatedColumnFormula>IFERROR(VLOOKUP(INT(MID($A2,FIND("AN",$A2)+2,2)),Index[],2,FALSE),"")</calculatedColumnFormula>
    </tableColumn>
    <tableColumn id="3" xr3:uid="{49F37FEB-3215-4B10-8D00-0B74E36C8895}" name="发布日期" dataDxfId="3"/>
    <tableColumn id="7" xr3:uid="{51B42D66-90E9-41C1-A474-37DD2DBDE15D}" name="更新日期" dataDxfId="2"/>
    <tableColumn id="4" xr3:uid="{05417962-2E32-4EE8-A769-CB6582724555}" name="说明" dataDxfId="1"/>
    <tableColumn id="5" xr3:uid="{0A3FAFAC-1BAE-4E66-AD5E-6E0216D8CD05}" name="备注"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534396-180E-47D8-BCAE-4E4411FA9C5E}" name="Index" displayName="Index" ref="A1:B47" totalsRowShown="0">
  <autoFilter ref="A1:B47" xr:uid="{C9534396-180E-47D8-BCAE-4E4411FA9C5E}"/>
  <tableColumns count="2">
    <tableColumn id="1" xr3:uid="{CA669D39-BC56-4D4A-8032-1969AA438521}" name="Index"/>
    <tableColumn id="2" xr3:uid="{2C78117D-AF23-4368-9445-1DFAB2FAC8AD}" name="应用领域"/>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D6A9-DB12-4BB0-8144-B232BE534B97}">
  <dimension ref="A1:K19"/>
  <sheetViews>
    <sheetView topLeftCell="A2" zoomScale="145" zoomScaleNormal="145" workbookViewId="0">
      <selection activeCell="I7" sqref="I7"/>
    </sheetView>
  </sheetViews>
  <sheetFormatPr defaultRowHeight="13.8" x14ac:dyDescent="0.25"/>
  <cols>
    <col min="1" max="1" width="12.77734375" bestFit="1" customWidth="1"/>
    <col min="2" max="2" width="12.6640625" bestFit="1" customWidth="1"/>
    <col min="3" max="3" width="18.5546875" bestFit="1" customWidth="1"/>
    <col min="4" max="4" width="12.5546875" bestFit="1" customWidth="1"/>
    <col min="5" max="5" width="18.44140625" bestFit="1" customWidth="1"/>
    <col min="6" max="6" width="41.6640625" bestFit="1" customWidth="1"/>
    <col min="7" max="7" width="16.109375" bestFit="1" customWidth="1"/>
    <col min="8" max="9" width="11.44140625" bestFit="1" customWidth="1"/>
    <col min="10" max="10" width="46.77734375" bestFit="1" customWidth="1"/>
  </cols>
  <sheetData>
    <row r="1" spans="1:11" x14ac:dyDescent="0.25">
      <c r="A1" s="1" t="s">
        <v>0</v>
      </c>
      <c r="B1" s="1" t="s">
        <v>53</v>
      </c>
      <c r="C1" s="1" t="s">
        <v>58</v>
      </c>
      <c r="D1" s="1" t="s">
        <v>54</v>
      </c>
      <c r="E1" s="1" t="s">
        <v>59</v>
      </c>
      <c r="F1" s="1" t="s">
        <v>4</v>
      </c>
      <c r="G1" s="1" t="s">
        <v>1</v>
      </c>
      <c r="H1" s="1" t="s">
        <v>2</v>
      </c>
      <c r="I1" s="1" t="s">
        <v>51</v>
      </c>
      <c r="J1" s="1" t="s">
        <v>5</v>
      </c>
      <c r="K1" s="1" t="s">
        <v>3</v>
      </c>
    </row>
    <row r="2" spans="1:11" ht="55.2" x14ac:dyDescent="0.25">
      <c r="A2" s="1" t="s">
        <v>6</v>
      </c>
      <c r="B2" s="3" t="str">
        <f>HYPERLINK("https://github.com/openwch/ch32_application_notes/blob/main/zh/"&amp;LEFT(文件索引表[[#This Row],[文件]],FIND(".",文件索引表[[#This Row],[文件]])-1)&amp;"/"&amp;文件索引表[[#This Row],[文件]],"Github")</f>
        <v>Github</v>
      </c>
      <c r="C2" s="3" t="str">
        <f>HYPERLINK("https://gitee.com/SYT_23/ch32_application_notes/raw/main/zh/"&amp;LEFT(文件索引表[[#This Row],[文件]],FIND(".",文件索引表[[#This Row],[文件]])-1)&amp;"/"&amp;文件索引表[[#This Row],[文件]],"Gitee")</f>
        <v>Gitee</v>
      </c>
      <c r="D2" s="4" t="s">
        <v>55</v>
      </c>
      <c r="E2" s="4" t="s">
        <v>55</v>
      </c>
      <c r="F2" s="1" t="s">
        <v>52</v>
      </c>
      <c r="G2" s="1" t="str">
        <f>IFERROR(VLOOKUP(INT(MID($A2,FIND("AN",$A2)+2,2)),Index[],2,FALSE),"")</f>
        <v>PWR</v>
      </c>
      <c r="H2" s="2">
        <v>45910</v>
      </c>
      <c r="I2" s="2">
        <v>45910</v>
      </c>
      <c r="J2" s="6" t="s">
        <v>7</v>
      </c>
      <c r="K2" s="1"/>
    </row>
    <row r="3" spans="1:11" ht="55.2" x14ac:dyDescent="0.25">
      <c r="A3" s="1" t="s">
        <v>75</v>
      </c>
      <c r="B3" s="3" t="str">
        <f>HYPERLINK("https://github.com/openwch/ch32_application_notes/blob/main/zh/"&amp;LEFT(文件索引表[[#This Row],[文件]],FIND(".",文件索引表[[#This Row],[文件]])-1)&amp;"/"&amp;文件索引表[[#This Row],[文件]],"Github")</f>
        <v>Github</v>
      </c>
      <c r="C3" s="3" t="str">
        <f>HYPERLINK("https://gitee.com/SYT_23/ch32_application_notes/raw/main/zh/"&amp;LEFT(文件索引表[[#This Row],[文件]],FIND(".",文件索引表[[#This Row],[文件]])-1)&amp;"/"&amp;文件索引表[[#This Row],[文件]],"Gitee")</f>
        <v>Gitee</v>
      </c>
      <c r="D3" s="4" t="s">
        <v>55</v>
      </c>
      <c r="E3" s="4" t="s">
        <v>55</v>
      </c>
      <c r="F3" s="1" t="s">
        <v>57</v>
      </c>
      <c r="G3" s="1" t="str">
        <f>IFERROR(VLOOKUP(INT(MID($A3,FIND("AN",$A3)+2,2)),Index[],2,FALSE),"")</f>
        <v>SDMMC</v>
      </c>
      <c r="H3" s="2">
        <v>45915</v>
      </c>
      <c r="I3" s="2">
        <v>45916</v>
      </c>
      <c r="J3" s="6" t="s">
        <v>56</v>
      </c>
      <c r="K3" s="1"/>
    </row>
    <row r="4" spans="1:11" ht="41.4" x14ac:dyDescent="0.25">
      <c r="A4" s="1" t="s">
        <v>60</v>
      </c>
      <c r="B4" s="5" t="str">
        <f>HYPERLINK("https://github.com/openwch/ch32_application_notes/blob/main/zh/"&amp;LEFT(文件索引表[[#This Row],[文件]],FIND(".",文件索引表[[#This Row],[文件]])-1)&amp;"/"&amp;文件索引表[[#This Row],[文件]],"Github")</f>
        <v>Github</v>
      </c>
      <c r="C4" s="5" t="str">
        <f>HYPERLINK("https://gitee.com/SYT_23/ch32_application_notes/raw/main/zh/"&amp;LEFT(文件索引表[[#This Row],[文件]],FIND(".",文件索引表[[#This Row],[文件]])-1)&amp;"/"&amp;文件索引表[[#This Row],[文件]],"Gitee")</f>
        <v>Gitee</v>
      </c>
      <c r="D4" s="4" t="s">
        <v>55</v>
      </c>
      <c r="E4" s="4" t="s">
        <v>55</v>
      </c>
      <c r="F4" s="1" t="s">
        <v>63</v>
      </c>
      <c r="G4" s="1" t="str">
        <f>IFERROR(VLOOKUP(INT(MID($A4,FIND("AN",$A4)+2,2)),Index[],2,FALSE),"")</f>
        <v>工具与开发环境</v>
      </c>
      <c r="H4" s="2">
        <v>45987</v>
      </c>
      <c r="I4" s="2">
        <v>45987</v>
      </c>
      <c r="J4" s="6" t="s">
        <v>61</v>
      </c>
      <c r="K4" s="1"/>
    </row>
    <row r="5" spans="1:11" ht="27.6" x14ac:dyDescent="0.25">
      <c r="A5" s="1" t="s">
        <v>62</v>
      </c>
      <c r="B5" s="5" t="str">
        <f>HYPERLINK("https://github.com/openwch/ch32_application_notes/blob/main/zh/"&amp;LEFT(文件索引表[[#This Row],[文件]],FIND(".",文件索引表[[#This Row],[文件]])-1)&amp;"/"&amp;文件索引表[[#This Row],[文件]],"Github")</f>
        <v>Github</v>
      </c>
      <c r="C5" s="5" t="str">
        <f>HYPERLINK("https://gitee.com/SYT_23/ch32_application_notes/raw/main/zh/"&amp;LEFT(文件索引表[[#This Row],[文件]],FIND(".",文件索引表[[#This Row],[文件]])-1)&amp;"/"&amp;文件索引表[[#This Row],[文件]],"Gitee")</f>
        <v>Gitee</v>
      </c>
      <c r="D5" s="4" t="s">
        <v>55</v>
      </c>
      <c r="E5" s="4" t="s">
        <v>55</v>
      </c>
      <c r="F5" s="1" t="s">
        <v>74</v>
      </c>
      <c r="G5" s="1" t="str">
        <f>IFERROR(VLOOKUP(INT(MID($A5,FIND("AN",$A5)+2,2)),Index[],2,FALSE),"")</f>
        <v>SPI/I2S</v>
      </c>
      <c r="H5" s="2">
        <v>45978</v>
      </c>
      <c r="I5" s="2">
        <v>45978</v>
      </c>
      <c r="J5" s="6" t="s">
        <v>64</v>
      </c>
      <c r="K5" s="1"/>
    </row>
    <row r="6" spans="1:11" ht="69" x14ac:dyDescent="0.25">
      <c r="A6" s="1" t="s">
        <v>65</v>
      </c>
      <c r="B6" s="5" t="str">
        <f>HYPERLINK("https://github.com/openwch/ch32_application_notes/blob/main/zh/"&amp;LEFT(文件索引表[[#This Row],[文件]],FIND(".",文件索引表[[#This Row],[文件]])-1)&amp;"/"&amp;文件索引表[[#This Row],[文件]],"Github")</f>
        <v>Github</v>
      </c>
      <c r="C6" s="5" t="str">
        <f>HYPERLINK("https://gitee.com/SYT_23/ch32_application_notes/raw/main/zh/"&amp;LEFT(文件索引表[[#This Row],[文件]],FIND(".",文件索引表[[#This Row],[文件]])-1)&amp;"/"&amp;文件索引表[[#This Row],[文件]],"Gitee")</f>
        <v>Gitee</v>
      </c>
      <c r="D6" s="4" t="s">
        <v>55</v>
      </c>
      <c r="E6" s="4" t="s">
        <v>55</v>
      </c>
      <c r="F6" s="1" t="s">
        <v>73</v>
      </c>
      <c r="G6" s="1" t="str">
        <f>IFERROR(VLOOKUP(INT(MID($A6,FIND("AN",$A6)+2,2)),Index[],2,FALSE),"")</f>
        <v>ADC/HSADC</v>
      </c>
      <c r="H6" s="2">
        <v>45981</v>
      </c>
      <c r="I6" s="2">
        <v>46189</v>
      </c>
      <c r="J6" s="6" t="s">
        <v>66</v>
      </c>
      <c r="K6" s="1"/>
    </row>
    <row r="7" spans="1:11" ht="56.4" customHeight="1" x14ac:dyDescent="0.25">
      <c r="A7" s="1" t="s">
        <v>67</v>
      </c>
      <c r="B7" s="5" t="str">
        <f>HYPERLINK("https://github.com/openwch/ch32_application_notes/blob/main/zh/"&amp;LEFT(文件索引表[[#This Row],[文件]],FIND(".",文件索引表[[#This Row],[文件]])-1)&amp;"/"&amp;文件索引表[[#This Row],[文件]],"Github")</f>
        <v>Github</v>
      </c>
      <c r="C7" s="5" t="str">
        <f>HYPERLINK("https://gitee.com/SYT_23/ch32_application_notes/raw/main/zh/"&amp;LEFT(文件索引表[[#This Row],[文件]],FIND(".",文件索引表[[#This Row],[文件]])-1)&amp;"/"&amp;文件索引表[[#This Row],[文件]],"Gitee")</f>
        <v>Gitee</v>
      </c>
      <c r="D7" s="4" t="s">
        <v>55</v>
      </c>
      <c r="E7" s="4" t="s">
        <v>55</v>
      </c>
      <c r="F7" s="1" t="s">
        <v>69</v>
      </c>
      <c r="G7" s="1" t="str">
        <f>IFERROR(VLOOKUP(INT(MID($A7,FIND("AN",$A7)+2,2)),Index[],2,FALSE),"")</f>
        <v>SerDes</v>
      </c>
      <c r="H7" s="2">
        <v>45978</v>
      </c>
      <c r="I7" s="2">
        <v>45978</v>
      </c>
      <c r="J7" s="6" t="s">
        <v>68</v>
      </c>
      <c r="K7" s="1"/>
    </row>
    <row r="8" spans="1:11" ht="55.2" x14ac:dyDescent="0.25">
      <c r="A8" s="1" t="s">
        <v>70</v>
      </c>
      <c r="B8" s="5" t="str">
        <f>HYPERLINK("https://github.com/openwch/ch32_application_notes/blob/main/zh/"&amp;LEFT(文件索引表[[#This Row],[文件]],FIND(".",文件索引表[[#This Row],[文件]])-1)&amp;"/"&amp;文件索引表[[#This Row],[文件]],"Github")</f>
        <v>Github</v>
      </c>
      <c r="C8" s="5" t="str">
        <f>HYPERLINK("https://gitee.com/SYT_23/ch32_application_notes/raw/main/zh/"&amp;LEFT(文件索引表[[#This Row],[文件]],FIND(".",文件索引表[[#This Row],[文件]])-1)&amp;"/"&amp;文件索引表[[#This Row],[文件]],"Gitee")</f>
        <v>Gitee</v>
      </c>
      <c r="D8" s="4" t="s">
        <v>55</v>
      </c>
      <c r="E8" s="4" t="s">
        <v>55</v>
      </c>
      <c r="F8" s="1" t="s">
        <v>72</v>
      </c>
      <c r="G8" s="1" t="str">
        <f>IFERROR(VLOOKUP(INT(MID($A8,FIND("AN",$A8)+2,2)),Index[],2,FALSE),"")</f>
        <v>DMA</v>
      </c>
      <c r="H8" s="2">
        <v>45979</v>
      </c>
      <c r="I8" s="2">
        <v>45979</v>
      </c>
      <c r="J8" s="6" t="s">
        <v>71</v>
      </c>
      <c r="K8" s="1"/>
    </row>
    <row r="9" spans="1:11" ht="41.4" x14ac:dyDescent="0.25">
      <c r="A9" s="1" t="s">
        <v>76</v>
      </c>
      <c r="B9" s="5" t="str">
        <f>HYPERLINK("https://github.com/openwch/ch32_application_notes/blob/main/zh/"&amp;LEFT(文件索引表[[#This Row],[文件]],FIND(".",文件索引表[[#This Row],[文件]])-1)&amp;"/"&amp;文件索引表[[#This Row],[文件]],"Github")</f>
        <v>Github</v>
      </c>
      <c r="C9" s="5" t="str">
        <f>HYPERLINK("https://gitee.com/SYT_23/ch32_application_notes/raw/main/zh/"&amp;LEFT(文件索引表[[#This Row],[文件]],FIND(".",文件索引表[[#This Row],[文件]])-1)&amp;"/"&amp;文件索引表[[#This Row],[文件]],"Gitee")</f>
        <v>Gitee</v>
      </c>
      <c r="D9" s="4" t="s">
        <v>55</v>
      </c>
      <c r="E9" s="4" t="s">
        <v>55</v>
      </c>
      <c r="F9" s="1" t="s">
        <v>77</v>
      </c>
      <c r="G9" s="1" t="str">
        <f>IFERROR(VLOOKUP(INT(MID($A9,FIND("AN",$A9)+2,2)),Index[],2,FALSE),"")</f>
        <v>其他</v>
      </c>
      <c r="H9" s="2">
        <v>46104</v>
      </c>
      <c r="I9" s="2">
        <v>46104</v>
      </c>
      <c r="J9" s="6" t="s">
        <v>78</v>
      </c>
      <c r="K9" s="1"/>
    </row>
    <row r="10" spans="1:11" x14ac:dyDescent="0.25">
      <c r="A10" s="1" t="s">
        <v>81</v>
      </c>
      <c r="B10" s="5" t="str">
        <f>HYPERLINK("https://github.com/openwch/ch32_application_notes/blob/main/zh/"&amp;LEFT(文件索引表[[#This Row],[文件]],FIND(".",文件索引表[[#This Row],[文件]])-1)&amp;"/"&amp;文件索引表[[#This Row],[文件]],"Github")</f>
        <v>Github</v>
      </c>
      <c r="C10" s="5" t="str">
        <f>HYPERLINK("https://gitee.com/SYT_23/ch32_application_notes/raw/main/zh/"&amp;LEFT(文件索引表[[#This Row],[文件]],FIND(".",文件索引表[[#This Row],[文件]])-1)&amp;"/"&amp;文件索引表[[#This Row],[文件]],"Gitee")</f>
        <v>Gitee</v>
      </c>
      <c r="D10" s="4" t="s">
        <v>55</v>
      </c>
      <c r="E10" s="4" t="s">
        <v>55</v>
      </c>
      <c r="F10" s="1" t="s">
        <v>84</v>
      </c>
      <c r="G10" s="1" t="str">
        <f>IFERROR(VLOOKUP(INT(MID($A10,FIND("AN",$A10)+2,2)),Index[],2,FALSE),"")</f>
        <v>CPU</v>
      </c>
      <c r="H10" s="2">
        <v>46136</v>
      </c>
      <c r="I10" s="2">
        <v>46136</v>
      </c>
      <c r="J10" s="6" t="s">
        <v>82</v>
      </c>
      <c r="K10" s="1"/>
    </row>
    <row r="11" spans="1:11" ht="41.4" x14ac:dyDescent="0.25">
      <c r="A11" s="1" t="s">
        <v>83</v>
      </c>
      <c r="B11" s="5" t="str">
        <f>HYPERLINK("https://github.com/openwch/ch32_application_notes/blob/main/zh/"&amp;LEFT(文件索引表[[#This Row],[文件]],FIND(".",文件索引表[[#This Row],[文件]])-1)&amp;"/"&amp;文件索引表[[#This Row],[文件]],"Github")</f>
        <v>Github</v>
      </c>
      <c r="C11" s="5" t="str">
        <f>HYPERLINK("https://gitee.com/SYT_23/ch32_application_notes/raw/main/zh/"&amp;LEFT(文件索引表[[#This Row],[文件]],FIND(".",文件索引表[[#This Row],[文件]])-1)&amp;"/"&amp;文件索引表[[#This Row],[文件]],"Gitee")</f>
        <v>Gitee</v>
      </c>
      <c r="D11" s="4" t="s">
        <v>55</v>
      </c>
      <c r="E11" s="4" t="s">
        <v>55</v>
      </c>
      <c r="F11" s="1" t="s">
        <v>85</v>
      </c>
      <c r="G11" s="1" t="str">
        <f>IFERROR(VLOOKUP(INT(MID($A11,FIND("AN",$A11)+2,2)),Index[],2,FALSE),"")</f>
        <v>SDIO</v>
      </c>
      <c r="H11" s="2">
        <v>45894</v>
      </c>
      <c r="I11" s="2">
        <v>45894</v>
      </c>
      <c r="J11" s="6" t="s">
        <v>86</v>
      </c>
      <c r="K11" s="1"/>
    </row>
    <row r="12" spans="1:11" ht="41.4" x14ac:dyDescent="0.25">
      <c r="A12" s="1" t="s">
        <v>87</v>
      </c>
      <c r="B12" s="5" t="str">
        <f>HYPERLINK("https://github.com/openwch/ch32_application_notes/blob/main/zh/"&amp;LEFT(文件索引表[[#This Row],[文件]],FIND(".",文件索引表[[#This Row],[文件]])-1)&amp;"/"&amp;文件索引表[[#This Row],[文件]],"Github")</f>
        <v>Github</v>
      </c>
      <c r="C12" s="5" t="str">
        <f>HYPERLINK("https://gitee.com/SYT_23/ch32_application_notes/raw/main/zh/"&amp;LEFT(文件索引表[[#This Row],[文件]],FIND(".",文件索引表[[#This Row],[文件]])-1)&amp;"/"&amp;文件索引表[[#This Row],[文件]],"Gitee")</f>
        <v>Gitee</v>
      </c>
      <c r="D12" s="4" t="s">
        <v>55</v>
      </c>
      <c r="E12" s="4" t="s">
        <v>55</v>
      </c>
      <c r="F12" s="1" t="s">
        <v>88</v>
      </c>
      <c r="G12" s="1" t="str">
        <f>IFERROR(VLOOKUP(INT(MID($A12,FIND("AN",$A12)+2,2)),Index[],2,FALSE),"")</f>
        <v>FMC/FSMC</v>
      </c>
      <c r="H12" s="2">
        <v>46168</v>
      </c>
      <c r="I12" s="2">
        <v>46168</v>
      </c>
      <c r="J12" s="6" t="s">
        <v>89</v>
      </c>
      <c r="K12" s="1"/>
    </row>
    <row r="13" spans="1:11" ht="27.6" x14ac:dyDescent="0.25">
      <c r="A13" s="1" t="s">
        <v>90</v>
      </c>
      <c r="B13" s="5" t="str">
        <f>HYPERLINK("https://github.com/openwch/ch32_application_notes/blob/main/zh/"&amp;LEFT(文件索引表[[#This Row],[文件]],FIND(".",文件索引表[[#This Row],[文件]])-1)&amp;"/"&amp;文件索引表[[#This Row],[文件]],"Github")</f>
        <v>Github</v>
      </c>
      <c r="C13" s="5" t="str">
        <f>HYPERLINK("https://gitee.com/SYT_23/ch32_application_notes/raw/main/zh/"&amp;LEFT(文件索引表[[#This Row],[文件]],FIND(".",文件索引表[[#This Row],[文件]])-1)&amp;"/"&amp;文件索引表[[#This Row],[文件]],"Gitee")</f>
        <v>Gitee</v>
      </c>
      <c r="D13" s="4" t="s">
        <v>55</v>
      </c>
      <c r="E13" s="4" t="s">
        <v>55</v>
      </c>
      <c r="F13" s="1" t="s">
        <v>92</v>
      </c>
      <c r="G13" s="1" t="str">
        <f>IFERROR(VLOOKUP(INT(MID($A13,FIND("AN",$A13)+2,2)),Index[],2,FALSE),"")</f>
        <v>ARGB</v>
      </c>
      <c r="H13" s="2">
        <v>46107</v>
      </c>
      <c r="I13" s="2">
        <v>46107</v>
      </c>
      <c r="J13" s="6" t="s">
        <v>91</v>
      </c>
      <c r="K13" s="1"/>
    </row>
    <row r="14" spans="1:11" x14ac:dyDescent="0.25">
      <c r="A14" s="1" t="s">
        <v>94</v>
      </c>
      <c r="B14" s="5" t="str">
        <f>HYPERLINK("https://github.com/openwch/ch32_application_notes/blob/main/zh/"&amp;LEFT(文件索引表[[#This Row],[文件]],FIND(".",文件索引表[[#This Row],[文件]])-1)&amp;"/"&amp;文件索引表[[#This Row],[文件]],"Github")</f>
        <v>Github</v>
      </c>
      <c r="C14" s="5" t="str">
        <f>HYPERLINK("https://gitee.com/SYT_23/ch32_application_notes/raw/main/zh/"&amp;LEFT(文件索引表[[#This Row],[文件]],FIND(".",文件索引表[[#This Row],[文件]])-1)&amp;"/"&amp;文件索引表[[#This Row],[文件]],"Gitee")</f>
        <v>Gitee</v>
      </c>
      <c r="D14" s="4" t="s">
        <v>55</v>
      </c>
      <c r="E14" s="4" t="s">
        <v>55</v>
      </c>
      <c r="F14" s="1"/>
      <c r="G14" s="1" t="str">
        <f>IFERROR(VLOOKUP(INT(MID($A14,FIND("AN",$A14)+2,2)),Index[],2,FALSE),"")</f>
        <v>CPU</v>
      </c>
      <c r="H14" s="1"/>
      <c r="I14" s="1"/>
      <c r="J14" s="6"/>
      <c r="K14" s="1"/>
    </row>
    <row r="15" spans="1:11" x14ac:dyDescent="0.25">
      <c r="A15" s="1" t="s">
        <v>95</v>
      </c>
      <c r="B15" s="5" t="str">
        <f>HYPERLINK("https://github.com/openwch/ch32_application_notes/blob/main/zh/"&amp;LEFT(文件索引表[[#This Row],[文件]],FIND(".",文件索引表[[#This Row],[文件]])-1)&amp;"/"&amp;文件索引表[[#This Row],[文件]],"Github")</f>
        <v>Github</v>
      </c>
      <c r="C15" s="5" t="str">
        <f>HYPERLINK("https://gitee.com/SYT_23/ch32_application_notes/raw/main/zh/"&amp;LEFT(文件索引表[[#This Row],[文件]],FIND(".",文件索引表[[#This Row],[文件]])-1)&amp;"/"&amp;文件索引表[[#This Row],[文件]],"Gitee")</f>
        <v>Gitee</v>
      </c>
      <c r="D15" s="4" t="s">
        <v>55</v>
      </c>
      <c r="E15" s="4" t="s">
        <v>55</v>
      </c>
      <c r="F15" s="1"/>
      <c r="G15" s="1" t="str">
        <f>IFERROR(VLOOKUP(INT(MID($A15,FIND("AN",$A15)+2,2)),Index[],2,FALSE),"")</f>
        <v>CPU</v>
      </c>
      <c r="H15" s="1"/>
      <c r="I15" s="1"/>
      <c r="J15" s="6"/>
      <c r="K15" s="1"/>
    </row>
    <row r="16" spans="1:11" x14ac:dyDescent="0.25">
      <c r="A16" s="1" t="s">
        <v>96</v>
      </c>
      <c r="B16" s="5" t="str">
        <f>HYPERLINK("https://github.com/openwch/ch32_application_notes/blob/main/zh/"&amp;LEFT(文件索引表[[#This Row],[文件]],FIND(".",文件索引表[[#This Row],[文件]])-1)&amp;"/"&amp;文件索引表[[#This Row],[文件]],"Github")</f>
        <v>Github</v>
      </c>
      <c r="C16" s="5" t="str">
        <f>HYPERLINK("https://gitee.com/SYT_23/ch32_application_notes/raw/main/zh/"&amp;LEFT(文件索引表[[#This Row],[文件]],FIND(".",文件索引表[[#This Row],[文件]])-1)&amp;"/"&amp;文件索引表[[#This Row],[文件]],"Gitee")</f>
        <v>Gitee</v>
      </c>
      <c r="D16" s="4" t="s">
        <v>55</v>
      </c>
      <c r="E16" s="4" t="s">
        <v>55</v>
      </c>
      <c r="F16" s="1"/>
      <c r="G16" s="1" t="str">
        <f>IFERROR(VLOOKUP(INT(MID($A16,FIND("AN",$A16)+2,2)),Index[],2,FALSE),"")</f>
        <v>CPU</v>
      </c>
      <c r="H16" s="1"/>
      <c r="I16" s="1"/>
      <c r="J16" s="6"/>
      <c r="K16" s="1"/>
    </row>
    <row r="17" spans="1:11" x14ac:dyDescent="0.25">
      <c r="A17" s="1" t="s">
        <v>97</v>
      </c>
      <c r="B17" s="5" t="str">
        <f>HYPERLINK("https://github.com/openwch/ch32_application_notes/blob/main/zh/"&amp;LEFT(文件索引表[[#This Row],[文件]],FIND(".",文件索引表[[#This Row],[文件]])-1)&amp;"/"&amp;文件索引表[[#This Row],[文件]],"Github")</f>
        <v>Github</v>
      </c>
      <c r="C17" s="5" t="str">
        <f>HYPERLINK("https://gitee.com/SYT_23/ch32_application_notes/raw/main/zh/"&amp;LEFT(文件索引表[[#This Row],[文件]],FIND(".",文件索引表[[#This Row],[文件]])-1)&amp;"/"&amp;文件索引表[[#This Row],[文件]],"Gitee")</f>
        <v>Gitee</v>
      </c>
      <c r="D17" s="4" t="s">
        <v>55</v>
      </c>
      <c r="E17" s="4" t="s">
        <v>55</v>
      </c>
      <c r="F17" s="1"/>
      <c r="G17" s="1" t="str">
        <f>IFERROR(VLOOKUP(INT(MID($A17,FIND("AN",$A17)+2,2)),Index[],2,FALSE),"")</f>
        <v>ADC/HSADC</v>
      </c>
      <c r="H17" s="1"/>
      <c r="I17" s="1"/>
      <c r="J17" s="6"/>
      <c r="K17" s="1"/>
    </row>
    <row r="18" spans="1:11" x14ac:dyDescent="0.25">
      <c r="A18" s="1" t="s">
        <v>98</v>
      </c>
      <c r="B18" s="5" t="str">
        <f>HYPERLINK("https://github.com/openwch/ch32_application_notes/blob/main/zh/"&amp;LEFT(文件索引表[[#This Row],[文件]],FIND(".",文件索引表[[#This Row],[文件]])-1)&amp;"/"&amp;文件索引表[[#This Row],[文件]],"Github")</f>
        <v>Github</v>
      </c>
      <c r="C18" s="5" t="str">
        <f>HYPERLINK("https://gitee.com/SYT_23/ch32_application_notes/raw/main/zh/"&amp;LEFT(文件索引表[[#This Row],[文件]],FIND(".",文件索引表[[#This Row],[文件]])-1)&amp;"/"&amp;文件索引表[[#This Row],[文件]],"Gitee")</f>
        <v>Gitee</v>
      </c>
      <c r="D18" s="4" t="s">
        <v>55</v>
      </c>
      <c r="E18" s="4" t="s">
        <v>55</v>
      </c>
      <c r="F18" s="1"/>
      <c r="G18" s="1" t="str">
        <f>IFERROR(VLOOKUP(INT(MID($A18,FIND("AN",$A18)+2,2)),Index[],2,FALSE),"")</f>
        <v>其他</v>
      </c>
      <c r="H18" s="1"/>
      <c r="I18" s="1"/>
      <c r="J18" s="6"/>
      <c r="K18" s="1"/>
    </row>
    <row r="19" spans="1:11" x14ac:dyDescent="0.25">
      <c r="A19" s="1" t="s">
        <v>60</v>
      </c>
      <c r="B19" s="5" t="str">
        <f>HYPERLINK("https://github.com/openwch/ch32_application_notes/blob/main/zh/"&amp;LEFT(文件索引表[[#This Row],[文件]],FIND(".",文件索引表[[#This Row],[文件]])-1)&amp;"/"&amp;文件索引表[[#This Row],[文件]],"Github")</f>
        <v>Github</v>
      </c>
      <c r="C19" s="5" t="str">
        <f>HYPERLINK("https://gitee.com/SYT_23/ch32_application_notes/raw/main/zh/"&amp;LEFT(文件索引表[[#This Row],[文件]],FIND(".",文件索引表[[#This Row],[文件]])-1)&amp;"/"&amp;文件索引表[[#This Row],[文件]],"Gitee")</f>
        <v>Gitee</v>
      </c>
      <c r="D19" s="4" t="s">
        <v>55</v>
      </c>
      <c r="E19" s="4" t="s">
        <v>55</v>
      </c>
      <c r="F19" s="1"/>
      <c r="G19" s="1" t="str">
        <f>IFERROR(VLOOKUP(INT(MID($A19,FIND("AN",$A19)+2,2)),Index[],2,FALSE),"")</f>
        <v>工具与开发环境</v>
      </c>
      <c r="H19" s="1"/>
      <c r="I19" s="1"/>
      <c r="J19" s="6"/>
      <c r="K19"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97A1D-FB41-4030-83D7-2AB4890CD612}">
  <dimension ref="A1:B47"/>
  <sheetViews>
    <sheetView tabSelected="1" workbookViewId="0">
      <selection activeCell="J12" sqref="J12"/>
    </sheetView>
  </sheetViews>
  <sheetFormatPr defaultRowHeight="13.8" x14ac:dyDescent="0.25"/>
  <cols>
    <col min="2" max="2" width="16.109375" bestFit="1" customWidth="1"/>
  </cols>
  <sheetData>
    <row r="1" spans="1:2" x14ac:dyDescent="0.25">
      <c r="A1" t="s">
        <v>50</v>
      </c>
      <c r="B1" t="s">
        <v>8</v>
      </c>
    </row>
    <row r="2" spans="1:2" x14ac:dyDescent="0.25">
      <c r="A2">
        <v>0</v>
      </c>
      <c r="B2" t="s">
        <v>9</v>
      </c>
    </row>
    <row r="3" spans="1:2" x14ac:dyDescent="0.25">
      <c r="A3">
        <v>90</v>
      </c>
      <c r="B3" t="s">
        <v>9</v>
      </c>
    </row>
    <row r="4" spans="1:2" x14ac:dyDescent="0.25">
      <c r="A4">
        <v>91</v>
      </c>
      <c r="B4" t="s">
        <v>10</v>
      </c>
    </row>
    <row r="5" spans="1:2" x14ac:dyDescent="0.25">
      <c r="A5">
        <v>92</v>
      </c>
      <c r="B5" t="s">
        <v>11</v>
      </c>
    </row>
    <row r="6" spans="1:2" x14ac:dyDescent="0.25">
      <c r="A6">
        <v>93</v>
      </c>
      <c r="B6" t="s">
        <v>12</v>
      </c>
    </row>
    <row r="7" spans="1:2" x14ac:dyDescent="0.25">
      <c r="A7">
        <v>94</v>
      </c>
      <c r="B7" t="s">
        <v>13</v>
      </c>
    </row>
    <row r="8" spans="1:2" x14ac:dyDescent="0.25">
      <c r="A8">
        <v>95</v>
      </c>
      <c r="B8" t="s">
        <v>14</v>
      </c>
    </row>
    <row r="9" spans="1:2" x14ac:dyDescent="0.25">
      <c r="A9">
        <v>96</v>
      </c>
      <c r="B9" t="s">
        <v>15</v>
      </c>
    </row>
    <row r="10" spans="1:2" x14ac:dyDescent="0.25">
      <c r="A10">
        <v>97</v>
      </c>
      <c r="B10" t="s">
        <v>99</v>
      </c>
    </row>
    <row r="11" spans="1:2" x14ac:dyDescent="0.25">
      <c r="A11">
        <v>1</v>
      </c>
      <c r="B11" t="s">
        <v>16</v>
      </c>
    </row>
    <row r="12" spans="1:2" x14ac:dyDescent="0.25">
      <c r="A12">
        <v>2</v>
      </c>
      <c r="B12" t="s">
        <v>17</v>
      </c>
    </row>
    <row r="13" spans="1:2" x14ac:dyDescent="0.25">
      <c r="A13">
        <v>3</v>
      </c>
      <c r="B13" t="s">
        <v>18</v>
      </c>
    </row>
    <row r="14" spans="1:2" x14ac:dyDescent="0.25">
      <c r="A14">
        <v>4</v>
      </c>
      <c r="B14" t="s">
        <v>19</v>
      </c>
    </row>
    <row r="15" spans="1:2" x14ac:dyDescent="0.25">
      <c r="A15">
        <v>5</v>
      </c>
      <c r="B15" t="s">
        <v>20</v>
      </c>
    </row>
    <row r="16" spans="1:2" x14ac:dyDescent="0.25">
      <c r="A16">
        <v>6</v>
      </c>
      <c r="B16" t="s">
        <v>21</v>
      </c>
    </row>
    <row r="17" spans="1:2" x14ac:dyDescent="0.25">
      <c r="A17">
        <v>7</v>
      </c>
      <c r="B17" t="s">
        <v>22</v>
      </c>
    </row>
    <row r="18" spans="1:2" x14ac:dyDescent="0.25">
      <c r="A18">
        <v>8</v>
      </c>
      <c r="B18" t="s">
        <v>23</v>
      </c>
    </row>
    <row r="19" spans="1:2" x14ac:dyDescent="0.25">
      <c r="A19">
        <v>9</v>
      </c>
      <c r="B19" t="s">
        <v>24</v>
      </c>
    </row>
    <row r="20" spans="1:2" x14ac:dyDescent="0.25">
      <c r="A20">
        <v>10</v>
      </c>
      <c r="B20" t="s">
        <v>25</v>
      </c>
    </row>
    <row r="21" spans="1:2" x14ac:dyDescent="0.25">
      <c r="A21">
        <v>11</v>
      </c>
      <c r="B21" t="s">
        <v>26</v>
      </c>
    </row>
    <row r="22" spans="1:2" x14ac:dyDescent="0.25">
      <c r="A22">
        <v>12</v>
      </c>
      <c r="B22" t="s">
        <v>27</v>
      </c>
    </row>
    <row r="23" spans="1:2" x14ac:dyDescent="0.25">
      <c r="A23">
        <v>13</v>
      </c>
      <c r="B23" t="s">
        <v>28</v>
      </c>
    </row>
    <row r="24" spans="1:2" x14ac:dyDescent="0.25">
      <c r="A24">
        <v>14</v>
      </c>
      <c r="B24" t="s">
        <v>29</v>
      </c>
    </row>
    <row r="25" spans="1:2" x14ac:dyDescent="0.25">
      <c r="A25">
        <v>15</v>
      </c>
      <c r="B25" t="s">
        <v>30</v>
      </c>
    </row>
    <row r="26" spans="1:2" x14ac:dyDescent="0.25">
      <c r="A26">
        <v>16</v>
      </c>
      <c r="B26" t="s">
        <v>31</v>
      </c>
    </row>
    <row r="27" spans="1:2" x14ac:dyDescent="0.25">
      <c r="A27">
        <v>17</v>
      </c>
      <c r="B27" t="s">
        <v>32</v>
      </c>
    </row>
    <row r="28" spans="1:2" x14ac:dyDescent="0.25">
      <c r="A28">
        <v>18</v>
      </c>
      <c r="B28" t="s">
        <v>33</v>
      </c>
    </row>
    <row r="29" spans="1:2" x14ac:dyDescent="0.25">
      <c r="A29">
        <v>19</v>
      </c>
      <c r="B29" t="s">
        <v>34</v>
      </c>
    </row>
    <row r="30" spans="1:2" x14ac:dyDescent="0.25">
      <c r="A30">
        <v>20</v>
      </c>
      <c r="B30" t="s">
        <v>35</v>
      </c>
    </row>
    <row r="31" spans="1:2" x14ac:dyDescent="0.25">
      <c r="A31">
        <v>21</v>
      </c>
      <c r="B31" t="s">
        <v>36</v>
      </c>
    </row>
    <row r="32" spans="1:2" x14ac:dyDescent="0.25">
      <c r="A32">
        <v>22</v>
      </c>
      <c r="B32" t="s">
        <v>37</v>
      </c>
    </row>
    <row r="33" spans="1:2" x14ac:dyDescent="0.25">
      <c r="A33">
        <v>23</v>
      </c>
      <c r="B33" t="s">
        <v>38</v>
      </c>
    </row>
    <row r="34" spans="1:2" x14ac:dyDescent="0.25">
      <c r="A34">
        <v>24</v>
      </c>
      <c r="B34" t="s">
        <v>39</v>
      </c>
    </row>
    <row r="35" spans="1:2" x14ac:dyDescent="0.25">
      <c r="A35">
        <v>25</v>
      </c>
      <c r="B35" t="s">
        <v>40</v>
      </c>
    </row>
    <row r="36" spans="1:2" x14ac:dyDescent="0.25">
      <c r="A36">
        <v>26</v>
      </c>
      <c r="B36" t="s">
        <v>41</v>
      </c>
    </row>
    <row r="37" spans="1:2" x14ac:dyDescent="0.25">
      <c r="A37">
        <v>27</v>
      </c>
      <c r="B37" t="s">
        <v>42</v>
      </c>
    </row>
    <row r="38" spans="1:2" x14ac:dyDescent="0.25">
      <c r="A38">
        <v>28</v>
      </c>
      <c r="B38" t="s">
        <v>43</v>
      </c>
    </row>
    <row r="39" spans="1:2" x14ac:dyDescent="0.25">
      <c r="A39">
        <v>29</v>
      </c>
      <c r="B39" t="s">
        <v>44</v>
      </c>
    </row>
    <row r="40" spans="1:2" x14ac:dyDescent="0.25">
      <c r="A40">
        <v>30</v>
      </c>
      <c r="B40" t="s">
        <v>45</v>
      </c>
    </row>
    <row r="41" spans="1:2" x14ac:dyDescent="0.25">
      <c r="A41">
        <v>31</v>
      </c>
      <c r="B41" t="s">
        <v>46</v>
      </c>
    </row>
    <row r="42" spans="1:2" x14ac:dyDescent="0.25">
      <c r="A42">
        <v>32</v>
      </c>
      <c r="B42" t="s">
        <v>47</v>
      </c>
    </row>
    <row r="43" spans="1:2" x14ac:dyDescent="0.25">
      <c r="A43">
        <v>33</v>
      </c>
      <c r="B43" t="s">
        <v>48</v>
      </c>
    </row>
    <row r="44" spans="1:2" x14ac:dyDescent="0.25">
      <c r="A44">
        <v>34</v>
      </c>
      <c r="B44" t="s">
        <v>49</v>
      </c>
    </row>
    <row r="45" spans="1:2" x14ac:dyDescent="0.25">
      <c r="A45">
        <v>35</v>
      </c>
      <c r="B45" t="s">
        <v>79</v>
      </c>
    </row>
    <row r="46" spans="1:2" x14ac:dyDescent="0.25">
      <c r="A46">
        <v>36</v>
      </c>
      <c r="B46" t="s">
        <v>80</v>
      </c>
    </row>
    <row r="47" spans="1:2" x14ac:dyDescent="0.25">
      <c r="A47">
        <v>37</v>
      </c>
      <c r="B47" t="s">
        <v>93</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文件列表</vt:lpstr>
      <vt:lpstr>类型Index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LIANGQUAN YANG</dc:creator>
  <cp:lastModifiedBy>LIANGQUAN YANG</cp:lastModifiedBy>
  <dcterms:created xsi:type="dcterms:W3CDTF">2025-09-22T03:13:50Z</dcterms:created>
  <dcterms:modified xsi:type="dcterms:W3CDTF">2026-08-28T08:39:40Z</dcterms:modified>
</cp:coreProperties>
</file>