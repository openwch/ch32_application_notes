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91598056-D1C8-4FF8-8BFE-DCA2109BA654}"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文件列表!$A$1:$F$3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E3" i="1"/>
  <c r="B2" i="1"/>
  <c r="E2" i="1"/>
</calcChain>
</file>

<file path=xl/sharedStrings.xml><?xml version="1.0" encoding="utf-8"?>
<sst xmlns="http://schemas.openxmlformats.org/spreadsheetml/2006/main" count="61" uniqueCount="59">
  <si>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</si>
  <si>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</si>
  <si>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</si>
  <si>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</si>
  <si>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</si>
  <si>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</si>
  <si>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</si>
  <si>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</si>
  <si>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</si>
  <si>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</si>
  <si>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</si>
  <si>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</si>
  <si>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</si>
  <si>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</si>
  <si>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</si>
  <si>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</si>
  <si>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</si>
  <si>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</si>
  <si>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</si>
  <si>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</si>
  <si>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</si>
  <si>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</si>
  <si>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</si>
  <si>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</si>
  <si>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</si>
  <si>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</si>
  <si>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</si>
  <si>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</si>
  <si>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</si>
  <si>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</si>
  <si>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</si>
  <si>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</si>
  <si>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</si>
  <si>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</si>
  <si>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</si>
  <si>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</si>
  <si>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</si>
  <si>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</si>
  <si>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</si>
  <si>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</si>
  <si>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</si>
  <si>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</si>
  <si>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</si>
  <si>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</si>
  <si>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</si>
  <si>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</si>
  <si>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</si>
  <si>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</si>
  <si>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</si>
  <si>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</si>
  <si>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</si>
  <si>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</si>
  <si>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</si>
  <si>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</si>
  <si>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</si>
  <si>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</si>
  <si>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AN22000.pdf</t>
  </si>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</sst>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9">
    <xf numFmtId="0" fontId="0" fillId="0" borderId="0" xfId="0">
      <alignment vertical="center"/>
    </xf>
    <xf numFmtId="0" fontId="0" fillId="0" borderId="0" xfId="0" applyAlignment="1">
      <alignment horizontal="left" vertical="center" wrapText="1"/>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2" fillId="0" borderId="0" xfId="1" applyAlignment="1">
      <alignment horizontal="center" vertical="center"/>
    </xf>
    <xf numFmtId="0" fontId="2" fillId="0" borderId="0" xfId="1">
      <alignment vertical="center"/>
    </xf>
    <xf numFmtId="0" fontId="0" fillId="0" borderId="0" xfId="0" quotePrefix="1" applyAlignment="1">
      <alignment horizontal="center" vertical="center"/>
    </xf>
    <xf numFmtId="0" fontId="0" fillId="0" borderId="0" xfId="0" applyNumberFormat="1" applyAlignment="1">
      <alignment horizontal="center" vertical="center"/>
    </xf>
  </cellXfs>
  <cellStyles count="2">
    <cellStyle name="常规" xfId="0" builtinId="0"/>
    <cellStyle name="超链接" xfId="1" builtinId="8"/>
  </cellStyles>
  <dxfs count="8">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left"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表3" displayName="表3" ref="A1:I3" totalsRowShown="0">
  <autoFilter ref="A1:I3" xr:uid="{F20C98E0-EC21-4FA5-95A7-F381479833AC}"/>
  <tableColumns count="9">
    <tableColumn id="1" xr3:uid="{FCBBF4A2-03CB-4883-8E68-90DEB846908D}" name="文件" dataDxfId="7"/>
    <tableColumn id="6" xr3:uid="{915FD8AC-706D-4E1C-A85F-1735C0A4E667}" name="链接CH" dataDxfId="6">
      <calculatedColumnFormula>HYPERLINK("https://github.com/openwch/ch32_application_notes/blob/main/zh/"&amp;表3[[#This Row],[文件]],"Link")</calculatedColumnFormula>
    </tableColumn>
    <tableColumn id="9" xr3:uid="{A29C0DDC-6656-4A87-9641-B46EAFE59C8A}" name="链接EN" dataDxfId="5"/>
    <tableColumn id="8" xr3:uid="{2B89B17F-3453-47BF-A4C3-7D99CD563975}" name="标题" dataDxfId="4"/>
    <tableColumn id="2" xr3:uid="{EDB8B225-1A54-4245-85C0-DC125B05E45D}" name="类型" dataDxfId="3">
      <calculatedColumnFormula>IFERROR(VLOOKUP(INT(MID($A2,FIND("AN",$A2)+2,2)),Index[],2,FALSE),"")</calculatedColumnFormula>
    </tableColumn>
    <tableColumn id="3" xr3:uid="{49F37FEB-3215-4B10-8D00-0B74E36C8895}" name="发布日期" dataDxfId="2"/>
    <tableColumn id="7" xr3:uid="{51B42D66-90E9-41C1-A474-37DD2DBDE15D}" name="更新日期" dataDxfId="1"/>
    <tableColumn id="4" xr3:uid="{05417962-2E32-4EE8-A769-CB6582724555}" name="说明" dataDxfId="0"/>
    <tableColumn id="5" xr3:uid="{0A3FAFAC-1BAE-4E66-AD5E-6E0216D8CD05}" name="备注"/>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3" totalsRowShown="0">
  <autoFilter ref="A1:B43"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I5"/>
  <sheetViews>
    <sheetView tabSelected="1" zoomScale="175" zoomScaleNormal="175" workbookViewId="0">
      <selection activeCell="D6" sqref="D6"/>
    </sheetView>
  </sheetViews>
  <sheetFormatPr defaultRowHeight="13.8" x14ac:dyDescent="0.25"/>
  <cols>
    <col min="1" max="1" width="12.6640625" bestFit="1" customWidth="1"/>
    <col min="2" max="3" width="12.6640625" customWidth="1"/>
    <col min="4" max="4" width="30.44140625" bestFit="1" customWidth="1"/>
    <col min="6" max="6" width="11.77734375" bestFit="1" customWidth="1"/>
    <col min="7" max="7" width="11.77734375" customWidth="1"/>
    <col min="8" max="8" width="46.77734375" bestFit="1" customWidth="1"/>
  </cols>
  <sheetData>
    <row r="1" spans="1:9" x14ac:dyDescent="0.25">
      <c r="A1" t="s">
        <v>0</v>
      </c>
      <c r="B1" t="s">
        <v>53</v>
      </c>
      <c r="C1" t="s">
        <v>54</v>
      </c>
      <c r="D1" t="s">
        <v>4</v>
      </c>
      <c r="E1" t="s">
        <v>1</v>
      </c>
      <c r="F1" t="s">
        <v>2</v>
      </c>
      <c r="G1" t="s">
        <v>51</v>
      </c>
      <c r="H1" t="s">
        <v>5</v>
      </c>
      <c r="I1" t="s">
        <v>3</v>
      </c>
    </row>
    <row r="2" spans="1:9" ht="55.2" x14ac:dyDescent="0.25">
      <c r="A2" s="2" t="s">
        <v>6</v>
      </c>
      <c r="B2" s="5" t="str">
        <f>HYPERLINK("https://github.com/openwch/ch32_application_notes/blob/main/zh/"&amp;表3[[#This Row],[文件]],"Link")</f>
        <v>Link</v>
      </c>
      <c r="C2" s="7" t="s">
        <v>55</v>
      </c>
      <c r="D2" s="4" t="s">
        <v>52</v>
      </c>
      <c r="E2" s="2" t="str">
        <f>IFERROR(VLOOKUP(INT(MID($A2,FIND("AN",$A2)+2,2)),Index[],2,FALSE),"")</f>
        <v>PWR</v>
      </c>
      <c r="F2" s="3">
        <v>45910</v>
      </c>
      <c r="G2" s="3">
        <v>45910</v>
      </c>
      <c r="H2" s="1" t="s">
        <v>7</v>
      </c>
    </row>
    <row r="3" spans="1:9" ht="55.2" x14ac:dyDescent="0.25">
      <c r="A3" s="2" t="s">
        <v>56</v>
      </c>
      <c r="B3" s="5" t="str">
        <f>HYPERLINK("https://github.com/openwch/ch32_application_notes/blob/main/zh/"&amp;表3[[#This Row],[文件]],"Link")</f>
        <v>Link</v>
      </c>
      <c r="C3" s="7" t="s">
        <v>55</v>
      </c>
      <c r="D3" s="4" t="s">
        <v>58</v>
      </c>
      <c r="E3" s="8" t="str">
        <f>IFERROR(VLOOKUP(INT(MID($A3,FIND("AN",$A3)+2,2)),Index[],2,FALSE),"")</f>
        <v>SDMMC</v>
      </c>
      <c r="F3" s="3">
        <v>45915</v>
      </c>
      <c r="G3" s="3">
        <v>45916</v>
      </c>
      <c r="H3" s="1" t="s">
        <v>57</v>
      </c>
    </row>
    <row r="5" spans="1:9" x14ac:dyDescent="0.25">
      <c r="C5" s="6"/>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3"/>
  <sheetViews>
    <sheetView topLeftCell="A3" workbookViewId="0">
      <selection activeCell="F13" sqref="F13"/>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2025-10-09T05:10:08Z</dcterms:modified>
</cp:coreProperties>
</file>